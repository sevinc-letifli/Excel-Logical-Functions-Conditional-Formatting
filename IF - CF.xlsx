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F05FC922-7A95-4EA5-B6F1-CD96BDCBE0FE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F " sheetId="12" r:id="rId1"/>
    <sheet name="Conditional format" sheetId="9" r:id="rId2"/>
  </sheets>
  <definedNames>
    <definedName name="_xlnm._FilterDatabase" localSheetId="1" hidden="1">'Conditional format'!$A$1:$N$24</definedName>
    <definedName name="_xlnm._FilterDatabase" localSheetId="0" hidden="1">'IF '!$B$2:$N$22</definedName>
    <definedName name="Price_criteria" localSheetId="1">'Conditional format'!$Q$1</definedName>
    <definedName name="Price_criteria">#REF!</definedName>
    <definedName name="TAX" localSheetId="1">'Conditional format'!$Q$2</definedName>
    <definedName name="T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0" i="9" l="1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3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3" i="12"/>
  <c r="F28" i="9" l="1"/>
  <c r="F29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27" i="9"/>
  <c r="N4" i="12" l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3" i="12"/>
  <c r="G9" i="9" l="1"/>
  <c r="G12" i="9"/>
  <c r="G14" i="9"/>
  <c r="G19" i="9"/>
  <c r="G13" i="9"/>
  <c r="G11" i="9"/>
  <c r="G7" i="9"/>
  <c r="G10" i="9"/>
  <c r="G4" i="9"/>
  <c r="G5" i="9"/>
  <c r="G21" i="9"/>
  <c r="G24" i="9"/>
  <c r="G22" i="9"/>
  <c r="G3" i="9"/>
  <c r="G17" i="9"/>
  <c r="G15" i="9"/>
  <c r="G20" i="9"/>
  <c r="G16" i="9"/>
  <c r="G23" i="9"/>
  <c r="G18" i="9"/>
  <c r="G6" i="9"/>
  <c r="G2" i="9"/>
  <c r="G8" i="9"/>
</calcChain>
</file>

<file path=xl/sharedStrings.xml><?xml version="1.0" encoding="utf-8"?>
<sst xmlns="http://schemas.openxmlformats.org/spreadsheetml/2006/main" count="373" uniqueCount="127">
  <si>
    <t>A001</t>
  </si>
  <si>
    <t>A002</t>
  </si>
  <si>
    <t>A003</t>
  </si>
  <si>
    <t>A004</t>
  </si>
  <si>
    <t>A005</t>
  </si>
  <si>
    <t>A006</t>
  </si>
  <si>
    <t>Customer</t>
  </si>
  <si>
    <t>Date Time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</si>
  <si>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</si>
  <si>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</si>
  <si>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</si>
  <si>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</si>
  <si>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</si>
  <si>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</si>
  <si>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</si>
  <si>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</si>
  <si>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</si>
  <si>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</si>
  <si>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</si>
  <si>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</si>
  <si>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</si>
  <si>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</si>
  <si>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</si>
  <si>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</si>
  <si>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</si>
  <si>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Ross</t>
  </si>
  <si>
    <t>Joey</t>
  </si>
  <si>
    <t>Monica</t>
  </si>
  <si>
    <t>Rachel</t>
  </si>
  <si>
    <t>Chandler</t>
  </si>
  <si>
    <t>Phoebe</t>
  </si>
  <si>
    <t>Item</t>
  </si>
  <si>
    <t>Pizza</t>
  </si>
  <si>
    <t>Burger</t>
  </si>
  <si>
    <t>Sub Sandwich</t>
  </si>
  <si>
    <t>Hot Dog</t>
  </si>
  <si>
    <t>Gunther</t>
  </si>
  <si>
    <t>Tea</t>
  </si>
  <si>
    <t>Price</t>
  </si>
  <si>
    <t>Order ID</t>
  </si>
  <si>
    <t>Anderson</t>
  </si>
  <si>
    <t>Heather</t>
  </si>
  <si>
    <t>Richard</t>
  </si>
  <si>
    <t>Jenna</t>
  </si>
  <si>
    <t>Gordon</t>
  </si>
  <si>
    <t>Johnson</t>
  </si>
  <si>
    <t>Kristen</t>
  </si>
  <si>
    <t>Patrick</t>
  </si>
  <si>
    <t>David</t>
  </si>
  <si>
    <t>Adam</t>
  </si>
  <si>
    <t>Bell</t>
  </si>
  <si>
    <t>Nathalia</t>
  </si>
  <si>
    <t>Sales Rep</t>
  </si>
  <si>
    <t>Sales</t>
  </si>
  <si>
    <t>Commission</t>
  </si>
  <si>
    <t>Ryan</t>
  </si>
  <si>
    <t>Jacob</t>
  </si>
  <si>
    <t>Emily</t>
  </si>
  <si>
    <t>Kevin</t>
  </si>
  <si>
    <t>Less Than $600,000</t>
  </si>
  <si>
    <t>$600,000 - $750,000</t>
  </si>
  <si>
    <t>$750,001 - $900,000</t>
  </si>
  <si>
    <t>More Than $900,000</t>
  </si>
  <si>
    <t>Zone</t>
  </si>
  <si>
    <t>South</t>
  </si>
  <si>
    <t>North</t>
  </si>
  <si>
    <t>East</t>
  </si>
  <si>
    <t>West</t>
  </si>
  <si>
    <t>Month</t>
  </si>
  <si>
    <t>January</t>
  </si>
  <si>
    <t>February</t>
  </si>
  <si>
    <t>April</t>
  </si>
  <si>
    <t>March</t>
  </si>
  <si>
    <t>Number</t>
  </si>
  <si>
    <t>TAX</t>
  </si>
  <si>
    <t>Price criteria</t>
  </si>
  <si>
    <t>Pizza size</t>
  </si>
  <si>
    <t>small</t>
  </si>
  <si>
    <t>medium</t>
  </si>
  <si>
    <t>large</t>
  </si>
  <si>
    <t>&gt;10</t>
  </si>
  <si>
    <t>7-10</t>
  </si>
  <si>
    <t>First Delivery Date</t>
  </si>
  <si>
    <t>First Product</t>
  </si>
  <si>
    <t>Cost</t>
  </si>
  <si>
    <t>Second Delivery Date</t>
  </si>
  <si>
    <t>Second Product</t>
  </si>
  <si>
    <t>Delivery Person</t>
  </si>
  <si>
    <t>Laptop</t>
  </si>
  <si>
    <t>Mobile Phone</t>
  </si>
  <si>
    <t>Sam</t>
  </si>
  <si>
    <t>Janet</t>
  </si>
  <si>
    <t>Leonardo</t>
  </si>
  <si>
    <t>Fitness Tracker</t>
  </si>
  <si>
    <t>Daniel</t>
  </si>
  <si>
    <t>Stewart</t>
  </si>
  <si>
    <t>Smart Watch</t>
  </si>
  <si>
    <t>Tablet</t>
  </si>
  <si>
    <t>Cola</t>
  </si>
  <si>
    <t>Food/Drinks</t>
  </si>
  <si>
    <t>Payment</t>
  </si>
  <si>
    <t>Cash</t>
  </si>
  <si>
    <t>Card</t>
  </si>
  <si>
    <t>Discount(5%) on card</t>
  </si>
  <si>
    <t>Who ordered Pizza</t>
  </si>
  <si>
    <t>Discount(8%) on card &gt;$10</t>
  </si>
  <si>
    <t>TAX (12%)&gt;$5</t>
  </si>
  <si>
    <t/>
  </si>
  <si>
    <t>drinks</t>
  </si>
  <si>
    <t>foods</t>
  </si>
  <si>
    <t>Quantity (&lt;=3)</t>
  </si>
  <si>
    <t>Sales (&gt;10)</t>
  </si>
  <si>
    <t>Hər iki gündə Laptop</t>
  </si>
  <si>
    <t>Hər hansı gündə Laptop</t>
  </si>
  <si>
    <t>eyni gündə çatdırlıbsa, "same day"
fərqli günlərdə çatdırlıbsa, "different day"</t>
  </si>
  <si>
    <t>Delivered Laptop Twice</t>
  </si>
  <si>
    <t>Laptop Delivered</t>
  </si>
  <si>
    <t>1st Product
Laptop or Mobile 
Delivered by Sam</t>
  </si>
  <si>
    <t>Laptop or Mobile Delivered by Sam</t>
  </si>
  <si>
    <t>Delivery Type</t>
  </si>
  <si>
    <t>Second Cost</t>
  </si>
  <si>
    <t>&lt;500</t>
  </si>
  <si>
    <t>500-1200</t>
  </si>
  <si>
    <t>1200-1700</t>
  </si>
  <si>
    <t>1700-2800</t>
  </si>
  <si>
    <t>2800+</t>
  </si>
  <si>
    <t xml:space="preserve">Cədvələ əsasən komissiya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</si>
</sst>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_);[Red]\(&quot;$&quot;#,##0\)"/>
    <numFmt numFmtId="165" formatCode="&quot;$&quot;#,##0.00_);[Red]\(&quot;$&quot;#,##0.00\)"/>
    <numFmt numFmtId="166" formatCode="[$-409]d\-mmm\-yy;@"/>
    <numFmt numFmtId="167" formatCode="_(&quot;$&quot;* #,##0.00_);_(&quot;$&quot;* \(#,##0.00\);_(&quot;$&quot;* &quot;-&quot;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ECFFCC"/>
        <bgColor indexed="64"/>
      </patternFill>
    </fill>
    <fill>
      <patternFill patternType="solid">
        <fgColor rgb="FFF7FFEB"/>
        <bgColor indexed="64"/>
      </patternFill>
    </fill>
    <fill>
      <patternFill patternType="solid">
        <fgColor rgb="FFFFDDF2"/>
        <bgColor indexed="64"/>
      </patternFill>
    </fill>
    <fill>
      <patternFill patternType="solid">
        <fgColor rgb="FF9BE5FF"/>
        <bgColor indexed="64"/>
      </patternFill>
    </fill>
    <fill>
      <patternFill patternType="solid">
        <fgColor rgb="FFE5F8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9999FF"/>
      </bottom>
      <diagonal/>
    </border>
  </borders>
  <cellStyleXfs count="3">
    <xf numFmtId="0" fontId="0" fillId="0" borderId="0"/>
    <xf numFmtId="0" fontId="4" fillId="0" borderId="2" applyNumberFormat="0" applyFill="0" applyAlignment="0" applyProtection="0"/>
    <xf numFmtId="9" fontId="5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9" fontId="2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9" fontId="1" fillId="7" borderId="1" xfId="2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5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167" fontId="6" fillId="9" borderId="1" xfId="0" applyNumberFormat="1" applyFont="1" applyFill="1" applyBorder="1" applyAlignment="1">
      <alignment horizontal="center" vertical="center"/>
    </xf>
    <xf numFmtId="9" fontId="6" fillId="9" borderId="1" xfId="2" applyFont="1" applyFill="1" applyBorder="1" applyAlignment="1">
      <alignment horizontal="center" vertical="center"/>
    </xf>
    <xf numFmtId="4" fontId="6" fillId="9" borderId="1" xfId="2" applyNumberFormat="1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9" fontId="6" fillId="9" borderId="1" xfId="0" applyNumberFormat="1" applyFont="1" applyFill="1" applyBorder="1" applyAlignment="1">
      <alignment horizontal="center" vertical="center"/>
    </xf>
  </cellXfs>
  <cellStyles count="3">
    <cellStyle name="Heading 2" xfId="1" builtinId="17" customBuiltin="1"/>
    <cellStyle name="Normal" xfId="0" builtinId="0"/>
    <cellStyle name="Percent" xfId="2" builtinId="5"/>
  </cellStyles>
  <dxfs count="62">
    <dxf>
      <fill>
        <patternFill>
          <bgColor rgb="FFCC33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FF505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theme="5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CC33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</dxfs>
  <tableStyles count="1" defaultTableStyle="TableStyleMedium2" defaultPivotStyle="PivotStyleLight16">
    <tableStyle name="Invisible" pivot="0" table="0" count="0" xr9:uid="{A714758D-79CD-4711-94BA-749B35668D82}"/>
  </tableStyles>
  <colors>
    <mruColors>
      <color rgb="FFFF5050"/>
      <color rgb="FFCC3300"/>
      <color rgb="FFFF7171"/>
      <color rgb="FFFF3333"/>
      <color rgb="FFD9D9FF"/>
      <color rgb="FFF7FFEB"/>
      <color rgb="FFECFFCC"/>
      <color rgb="FFCCECFF"/>
      <color rgb="FF9999FF"/>
      <color rgb="FFC1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7F5C-83F3-4047-AF2F-7408FC969ADF}">
  <dimension ref="B1:Q22"/>
  <sheetViews>
    <sheetView showGridLines="0" tabSelected="1" topLeftCell="B1" zoomScale="70" zoomScaleNormal="70" workbookViewId="0">
      <selection activeCell="N3" sqref="N3"/>
    </sheetView>
  </sheetViews>
  <sheetFormatPr defaultColWidth="9.109375" defaultRowHeight="20.100000000000001" customHeight="1" x14ac:dyDescent="0.3"/>
  <cols>
    <col min="1" max="1" width="3.6640625" style="10" customWidth="1"/>
    <col min="2" max="2" width="18.5546875" style="10" customWidth="1"/>
    <col min="3" max="3" width="15.33203125" style="10" customWidth="1"/>
    <col min="4" max="4" width="15.44140625" style="10" customWidth="1"/>
    <col min="5" max="5" width="12.33203125" style="10" customWidth="1"/>
    <col min="6" max="6" width="18.33203125" style="10" customWidth="1"/>
    <col min="7" max="7" width="15" style="10" customWidth="1"/>
    <col min="8" max="8" width="12.33203125" style="10" customWidth="1"/>
    <col min="9" max="9" width="17.33203125" style="10" customWidth="1"/>
    <col min="10" max="10" width="13.6640625" style="10" customWidth="1"/>
    <col min="11" max="11" width="29.21875" style="10" bestFit="1" customWidth="1"/>
    <col min="12" max="12" width="27.6640625" style="10" bestFit="1" customWidth="1"/>
    <col min="13" max="13" width="40" style="10" customWidth="1"/>
    <col min="14" max="14" width="15.44140625" style="10" customWidth="1"/>
    <col min="15" max="15" width="13.6640625" style="10" bestFit="1" customWidth="1"/>
    <col min="16" max="16" width="11.88671875" style="10" customWidth="1"/>
    <col min="17" max="17" width="14" style="10" bestFit="1" customWidth="1"/>
    <col min="18" max="16384" width="9.109375" style="10"/>
  </cols>
  <sheetData>
    <row r="1" spans="2:17" ht="46.8" x14ac:dyDescent="0.3">
      <c r="I1" s="13" t="s">
        <v>112</v>
      </c>
      <c r="J1" s="13" t="s">
        <v>113</v>
      </c>
      <c r="K1" s="13"/>
      <c r="L1" s="13"/>
      <c r="M1" s="22" t="s">
        <v>114</v>
      </c>
      <c r="N1" s="23" t="s">
        <v>126</v>
      </c>
    </row>
    <row r="2" spans="2:17" ht="54" x14ac:dyDescent="0.3">
      <c r="B2" s="24" t="s">
        <v>82</v>
      </c>
      <c r="C2" s="24" t="s">
        <v>83</v>
      </c>
      <c r="D2" s="24" t="s">
        <v>84</v>
      </c>
      <c r="E2" s="24" t="s">
        <v>85</v>
      </c>
      <c r="F2" s="24" t="s">
        <v>86</v>
      </c>
      <c r="G2" s="24" t="s">
        <v>84</v>
      </c>
      <c r="H2" s="24" t="s">
        <v>87</v>
      </c>
      <c r="I2" s="14" t="s">
        <v>115</v>
      </c>
      <c r="J2" s="14" t="s">
        <v>116</v>
      </c>
      <c r="K2" s="14" t="s">
        <v>117</v>
      </c>
      <c r="L2" s="14" t="s">
        <v>118</v>
      </c>
      <c r="M2" s="14" t="s">
        <v>119</v>
      </c>
      <c r="N2" s="14" t="s">
        <v>54</v>
      </c>
      <c r="P2" s="24" t="s">
        <v>120</v>
      </c>
      <c r="Q2" s="25" t="s">
        <v>54</v>
      </c>
    </row>
    <row r="3" spans="2:17" ht="20.100000000000001" customHeight="1" x14ac:dyDescent="0.3">
      <c r="B3" s="15">
        <v>44621</v>
      </c>
      <c r="C3" s="12" t="s">
        <v>88</v>
      </c>
      <c r="D3" s="16">
        <v>2479.94</v>
      </c>
      <c r="E3" s="15">
        <v>44621</v>
      </c>
      <c r="F3" s="12" t="s">
        <v>89</v>
      </c>
      <c r="G3" s="16">
        <v>699.95</v>
      </c>
      <c r="H3" s="12" t="s">
        <v>90</v>
      </c>
      <c r="I3" s="17" t="str">
        <f>IF(AND(C3="laptop",F3="laptop"),"yes","no")</f>
        <v>no</v>
      </c>
      <c r="J3" s="17" t="str">
        <f>IF(OR(C3="laptop",F3="laptop"),"yes","no")</f>
        <v>yes</v>
      </c>
      <c r="K3" s="17" t="str">
        <f>IF(AND(OR(C3="laptop",C3="mobile phone"),H3="sam"),"yes","no")</f>
        <v>yes</v>
      </c>
      <c r="L3" s="17" t="str">
        <f>IF(AND(OR(C3="laptop",C3="mobile phone",F3="laptop",F3="mobile phone"),H3="sam"),"yes","no")</f>
        <v>yes</v>
      </c>
      <c r="M3" s="26" t="str">
        <f>IF(B3=E3,"same day","different day")</f>
        <v>same day</v>
      </c>
      <c r="N3" s="26">
        <f>IF(G3&lt;500,1%,IF(G3&lt;1200,3%,IF(G3&lt;1700,7%,IF(G3&lt;2800,13%,15%))))</f>
        <v>0.03</v>
      </c>
      <c r="P3" s="27" t="s">
        <v>121</v>
      </c>
      <c r="Q3" s="18">
        <v>0.01</v>
      </c>
    </row>
    <row r="4" spans="2:17" ht="20.100000000000001" customHeight="1" x14ac:dyDescent="0.3">
      <c r="B4" s="15">
        <v>44635</v>
      </c>
      <c r="C4" s="12" t="s">
        <v>88</v>
      </c>
      <c r="D4" s="16">
        <v>1732.99</v>
      </c>
      <c r="E4" s="15">
        <v>44636</v>
      </c>
      <c r="F4" s="12" t="s">
        <v>88</v>
      </c>
      <c r="G4" s="16">
        <v>3164.99</v>
      </c>
      <c r="H4" s="12" t="s">
        <v>91</v>
      </c>
      <c r="I4" s="17" t="str">
        <f t="shared" ref="I4:I22" si="0">IF(AND(C4="laptop",F4="laptop"),"yes","no")</f>
        <v>yes</v>
      </c>
      <c r="J4" s="17" t="str">
        <f t="shared" ref="J4:J22" si="1">IF(OR(C4="laptop",F4="laptop"),"yes","no")</f>
        <v>yes</v>
      </c>
      <c r="K4" s="17" t="str">
        <f t="shared" ref="K4:K22" si="2">IF(AND(OR(C4="laptop",C4="mobile phone"),H4="sam"),"yes","no")</f>
        <v>no</v>
      </c>
      <c r="L4" s="17" t="str">
        <f t="shared" ref="L4:L22" si="3">IF(AND(OR(C4="laptop",C4="mobile phone",F4="laptop",F4="mobile phone"),H4="sam"),"yes","no")</f>
        <v>no</v>
      </c>
      <c r="M4" s="26" t="str">
        <f t="shared" ref="M4:M22" si="4">IF(B4=E4,"same day","different day")</f>
        <v>different day</v>
      </c>
      <c r="N4" s="26">
        <f t="shared" ref="N4:N22" si="5">IF(G4&lt;500,1%,IF(G4&lt;1200,3%,IF(G4&lt;1700,7%,IF(G4&lt;2800,13%,15%))))</f>
        <v>0.15</v>
      </c>
      <c r="P4" s="27" t="s">
        <v>122</v>
      </c>
      <c r="Q4" s="18">
        <v>0.03</v>
      </c>
    </row>
    <row r="5" spans="2:17" ht="20.100000000000001" customHeight="1" x14ac:dyDescent="0.3">
      <c r="B5" s="15">
        <v>44637</v>
      </c>
      <c r="C5" s="12" t="s">
        <v>88</v>
      </c>
      <c r="D5" s="16">
        <v>1174.99</v>
      </c>
      <c r="E5" s="15">
        <v>44638</v>
      </c>
      <c r="F5" s="12" t="s">
        <v>89</v>
      </c>
      <c r="G5" s="27">
        <v>429</v>
      </c>
      <c r="H5" s="12" t="s">
        <v>90</v>
      </c>
      <c r="I5" s="17" t="str">
        <f t="shared" si="0"/>
        <v>no</v>
      </c>
      <c r="J5" s="17" t="str">
        <f t="shared" si="1"/>
        <v>yes</v>
      </c>
      <c r="K5" s="17" t="str">
        <f t="shared" si="2"/>
        <v>yes</v>
      </c>
      <c r="L5" s="17" t="str">
        <f t="shared" si="3"/>
        <v>yes</v>
      </c>
      <c r="M5" s="26" t="str">
        <f t="shared" si="4"/>
        <v>different day</v>
      </c>
      <c r="N5" s="26">
        <f t="shared" si="5"/>
        <v>0.01</v>
      </c>
      <c r="P5" s="27" t="s">
        <v>123</v>
      </c>
      <c r="Q5" s="18">
        <v>7.0000000000000007E-2</v>
      </c>
    </row>
    <row r="6" spans="2:17" ht="20.100000000000001" customHeight="1" x14ac:dyDescent="0.3">
      <c r="B6" s="15">
        <v>44639</v>
      </c>
      <c r="C6" s="12" t="s">
        <v>88</v>
      </c>
      <c r="D6" s="16">
        <v>1799.99</v>
      </c>
      <c r="E6" s="15">
        <v>44641</v>
      </c>
      <c r="F6" s="12" t="s">
        <v>89</v>
      </c>
      <c r="G6" s="27">
        <v>1525</v>
      </c>
      <c r="H6" s="12" t="s">
        <v>92</v>
      </c>
      <c r="I6" s="17" t="str">
        <f t="shared" si="0"/>
        <v>no</v>
      </c>
      <c r="J6" s="17" t="str">
        <f t="shared" si="1"/>
        <v>yes</v>
      </c>
      <c r="K6" s="17" t="str">
        <f t="shared" si="2"/>
        <v>no</v>
      </c>
      <c r="L6" s="17" t="str">
        <f t="shared" si="3"/>
        <v>no</v>
      </c>
      <c r="M6" s="26" t="str">
        <f t="shared" si="4"/>
        <v>different day</v>
      </c>
      <c r="N6" s="26">
        <f t="shared" si="5"/>
        <v>7.0000000000000007E-2</v>
      </c>
      <c r="P6" s="27" t="s">
        <v>124</v>
      </c>
      <c r="Q6" s="18">
        <v>0.13</v>
      </c>
    </row>
    <row r="7" spans="2:17" ht="20.100000000000001" customHeight="1" x14ac:dyDescent="0.3">
      <c r="B7" s="15">
        <v>44642</v>
      </c>
      <c r="C7" s="12" t="s">
        <v>88</v>
      </c>
      <c r="D7" s="16">
        <v>3164.99</v>
      </c>
      <c r="E7" s="15">
        <v>44643</v>
      </c>
      <c r="F7" s="12" t="s">
        <v>89</v>
      </c>
      <c r="G7" s="27">
        <v>599</v>
      </c>
      <c r="H7" s="12" t="s">
        <v>47</v>
      </c>
      <c r="I7" s="17" t="str">
        <f t="shared" si="0"/>
        <v>no</v>
      </c>
      <c r="J7" s="17" t="str">
        <f t="shared" si="1"/>
        <v>yes</v>
      </c>
      <c r="K7" s="17" t="str">
        <f t="shared" si="2"/>
        <v>no</v>
      </c>
      <c r="L7" s="17" t="str">
        <f t="shared" si="3"/>
        <v>no</v>
      </c>
      <c r="M7" s="26" t="str">
        <f t="shared" si="4"/>
        <v>different day</v>
      </c>
      <c r="N7" s="26">
        <f t="shared" si="5"/>
        <v>0.03</v>
      </c>
      <c r="P7" s="27" t="s">
        <v>125</v>
      </c>
      <c r="Q7" s="18">
        <v>0.15</v>
      </c>
    </row>
    <row r="8" spans="2:17" ht="20.100000000000001" customHeight="1" x14ac:dyDescent="0.3">
      <c r="B8" s="15">
        <v>44645</v>
      </c>
      <c r="C8" s="12" t="s">
        <v>88</v>
      </c>
      <c r="D8" s="16">
        <v>1199</v>
      </c>
      <c r="E8" s="15">
        <v>44646</v>
      </c>
      <c r="F8" s="12" t="s">
        <v>88</v>
      </c>
      <c r="G8" s="16">
        <v>1199</v>
      </c>
      <c r="H8" s="12" t="s">
        <v>41</v>
      </c>
      <c r="I8" s="17" t="str">
        <f t="shared" si="0"/>
        <v>yes</v>
      </c>
      <c r="J8" s="17" t="str">
        <f t="shared" si="1"/>
        <v>yes</v>
      </c>
      <c r="K8" s="17" t="str">
        <f t="shared" si="2"/>
        <v>no</v>
      </c>
      <c r="L8" s="17" t="str">
        <f t="shared" si="3"/>
        <v>no</v>
      </c>
      <c r="M8" s="26" t="str">
        <f t="shared" si="4"/>
        <v>different day</v>
      </c>
      <c r="N8" s="26">
        <f t="shared" si="5"/>
        <v>0.03</v>
      </c>
    </row>
    <row r="9" spans="2:17" ht="20.100000000000001" customHeight="1" x14ac:dyDescent="0.3">
      <c r="B9" s="15">
        <v>44648</v>
      </c>
      <c r="C9" s="12" t="s">
        <v>89</v>
      </c>
      <c r="D9" s="16">
        <v>699.95</v>
      </c>
      <c r="E9" s="15">
        <v>44649</v>
      </c>
      <c r="F9" s="12" t="s">
        <v>89</v>
      </c>
      <c r="G9" s="27">
        <v>449</v>
      </c>
      <c r="H9" s="12" t="s">
        <v>91</v>
      </c>
      <c r="I9" s="17" t="str">
        <f t="shared" si="0"/>
        <v>no</v>
      </c>
      <c r="J9" s="17" t="str">
        <f t="shared" si="1"/>
        <v>no</v>
      </c>
      <c r="K9" s="17" t="str">
        <f t="shared" si="2"/>
        <v>no</v>
      </c>
      <c r="L9" s="17" t="str">
        <f t="shared" si="3"/>
        <v>no</v>
      </c>
      <c r="M9" s="26" t="str">
        <f t="shared" si="4"/>
        <v>different day</v>
      </c>
      <c r="N9" s="26">
        <f t="shared" si="5"/>
        <v>0.01</v>
      </c>
    </row>
    <row r="10" spans="2:17" ht="20.100000000000001" customHeight="1" x14ac:dyDescent="0.3">
      <c r="B10" s="15">
        <v>44649</v>
      </c>
      <c r="C10" s="12" t="s">
        <v>89</v>
      </c>
      <c r="D10" s="27">
        <v>949</v>
      </c>
      <c r="E10" s="15">
        <v>44649</v>
      </c>
      <c r="F10" s="12" t="s">
        <v>93</v>
      </c>
      <c r="G10" s="16">
        <v>149.94999999999999</v>
      </c>
      <c r="H10" s="12" t="s">
        <v>94</v>
      </c>
      <c r="I10" s="17" t="str">
        <f t="shared" si="0"/>
        <v>no</v>
      </c>
      <c r="J10" s="17" t="str">
        <f t="shared" si="1"/>
        <v>no</v>
      </c>
      <c r="K10" s="17" t="str">
        <f t="shared" si="2"/>
        <v>no</v>
      </c>
      <c r="L10" s="17" t="str">
        <f t="shared" si="3"/>
        <v>no</v>
      </c>
      <c r="M10" s="26" t="str">
        <f t="shared" si="4"/>
        <v>same day</v>
      </c>
      <c r="N10" s="26">
        <f t="shared" si="5"/>
        <v>0.01</v>
      </c>
    </row>
    <row r="11" spans="2:17" ht="20.100000000000001" customHeight="1" x14ac:dyDescent="0.3">
      <c r="B11" s="15">
        <v>44653</v>
      </c>
      <c r="C11" s="12" t="s">
        <v>89</v>
      </c>
      <c r="D11" s="27">
        <v>429</v>
      </c>
      <c r="E11" s="15">
        <v>44654</v>
      </c>
      <c r="F11" s="12" t="s">
        <v>93</v>
      </c>
      <c r="G11" s="16">
        <v>129.94999999999999</v>
      </c>
      <c r="H11" s="12" t="s">
        <v>95</v>
      </c>
      <c r="I11" s="17" t="str">
        <f t="shared" si="0"/>
        <v>no</v>
      </c>
      <c r="J11" s="17" t="str">
        <f t="shared" si="1"/>
        <v>no</v>
      </c>
      <c r="K11" s="17" t="str">
        <f t="shared" si="2"/>
        <v>no</v>
      </c>
      <c r="L11" s="17" t="str">
        <f t="shared" si="3"/>
        <v>no</v>
      </c>
      <c r="M11" s="26" t="str">
        <f t="shared" si="4"/>
        <v>different day</v>
      </c>
      <c r="N11" s="26">
        <f t="shared" si="5"/>
        <v>0.01</v>
      </c>
    </row>
    <row r="12" spans="2:17" ht="20.100000000000001" customHeight="1" x14ac:dyDescent="0.3">
      <c r="B12" s="15">
        <v>44656</v>
      </c>
      <c r="C12" s="12" t="s">
        <v>89</v>
      </c>
      <c r="D12" s="27">
        <v>1525</v>
      </c>
      <c r="E12" s="15">
        <v>44657</v>
      </c>
      <c r="F12" s="12" t="s">
        <v>96</v>
      </c>
      <c r="G12" s="27">
        <v>399</v>
      </c>
      <c r="H12" s="12" t="s">
        <v>90</v>
      </c>
      <c r="I12" s="17" t="str">
        <f t="shared" si="0"/>
        <v>no</v>
      </c>
      <c r="J12" s="17" t="str">
        <f t="shared" si="1"/>
        <v>no</v>
      </c>
      <c r="K12" s="17" t="str">
        <f t="shared" si="2"/>
        <v>yes</v>
      </c>
      <c r="L12" s="17" t="str">
        <f t="shared" si="3"/>
        <v>yes</v>
      </c>
      <c r="M12" s="26" t="str">
        <f t="shared" si="4"/>
        <v>different day</v>
      </c>
      <c r="N12" s="26">
        <f t="shared" si="5"/>
        <v>0.01</v>
      </c>
    </row>
    <row r="13" spans="2:17" ht="20.100000000000001" customHeight="1" x14ac:dyDescent="0.3">
      <c r="B13" s="15">
        <v>44662</v>
      </c>
      <c r="C13" s="12" t="s">
        <v>88</v>
      </c>
      <c r="D13" s="16">
        <v>1799.99</v>
      </c>
      <c r="E13" s="15">
        <v>44664</v>
      </c>
      <c r="F13" s="12" t="s">
        <v>96</v>
      </c>
      <c r="G13" s="16">
        <v>183.9</v>
      </c>
      <c r="H13" s="12" t="s">
        <v>94</v>
      </c>
      <c r="I13" s="17" t="str">
        <f t="shared" si="0"/>
        <v>no</v>
      </c>
      <c r="J13" s="17" t="str">
        <f t="shared" si="1"/>
        <v>yes</v>
      </c>
      <c r="K13" s="17" t="str">
        <f t="shared" si="2"/>
        <v>no</v>
      </c>
      <c r="L13" s="17" t="str">
        <f t="shared" si="3"/>
        <v>no</v>
      </c>
      <c r="M13" s="26" t="str">
        <f t="shared" si="4"/>
        <v>different day</v>
      </c>
      <c r="N13" s="26">
        <f t="shared" si="5"/>
        <v>0.01</v>
      </c>
    </row>
    <row r="14" spans="2:17" ht="20.100000000000001" customHeight="1" x14ac:dyDescent="0.3">
      <c r="B14" s="15">
        <v>44668</v>
      </c>
      <c r="C14" s="12" t="s">
        <v>89</v>
      </c>
      <c r="D14" s="27">
        <v>475</v>
      </c>
      <c r="E14" s="15">
        <v>44669</v>
      </c>
      <c r="F14" s="12" t="s">
        <v>96</v>
      </c>
      <c r="G14" s="27">
        <v>299</v>
      </c>
      <c r="H14" s="12" t="s">
        <v>90</v>
      </c>
      <c r="I14" s="17" t="str">
        <f t="shared" si="0"/>
        <v>no</v>
      </c>
      <c r="J14" s="17" t="str">
        <f t="shared" si="1"/>
        <v>no</v>
      </c>
      <c r="K14" s="17" t="str">
        <f t="shared" si="2"/>
        <v>yes</v>
      </c>
      <c r="L14" s="17" t="str">
        <f t="shared" si="3"/>
        <v>yes</v>
      </c>
      <c r="M14" s="26" t="str">
        <f t="shared" si="4"/>
        <v>different day</v>
      </c>
      <c r="N14" s="26">
        <f t="shared" si="5"/>
        <v>0.01</v>
      </c>
    </row>
    <row r="15" spans="2:17" ht="20.100000000000001" customHeight="1" x14ac:dyDescent="0.3">
      <c r="B15" s="15">
        <v>44674</v>
      </c>
      <c r="C15" s="12" t="s">
        <v>89</v>
      </c>
      <c r="D15" s="27">
        <v>449</v>
      </c>
      <c r="E15" s="15">
        <v>44675</v>
      </c>
      <c r="F15" s="12" t="s">
        <v>88</v>
      </c>
      <c r="G15" s="16">
        <v>2479.94</v>
      </c>
      <c r="H15" s="12" t="s">
        <v>91</v>
      </c>
      <c r="I15" s="17" t="str">
        <f t="shared" si="0"/>
        <v>no</v>
      </c>
      <c r="J15" s="17" t="str">
        <f t="shared" si="1"/>
        <v>yes</v>
      </c>
      <c r="K15" s="17" t="str">
        <f t="shared" si="2"/>
        <v>no</v>
      </c>
      <c r="L15" s="17" t="str">
        <f t="shared" si="3"/>
        <v>no</v>
      </c>
      <c r="M15" s="26" t="str">
        <f t="shared" si="4"/>
        <v>different day</v>
      </c>
      <c r="N15" s="26">
        <f t="shared" si="5"/>
        <v>0.13</v>
      </c>
    </row>
    <row r="16" spans="2:17" ht="20.100000000000001" customHeight="1" x14ac:dyDescent="0.3">
      <c r="B16" s="15">
        <v>44678</v>
      </c>
      <c r="C16" s="12" t="s">
        <v>93</v>
      </c>
      <c r="D16" s="16">
        <v>149.94999999999999</v>
      </c>
      <c r="E16" s="15">
        <v>44679</v>
      </c>
      <c r="F16" s="12" t="s">
        <v>88</v>
      </c>
      <c r="G16" s="16">
        <v>1732.99</v>
      </c>
      <c r="H16" s="12" t="s">
        <v>47</v>
      </c>
      <c r="I16" s="17" t="str">
        <f t="shared" si="0"/>
        <v>no</v>
      </c>
      <c r="J16" s="17" t="str">
        <f t="shared" si="1"/>
        <v>yes</v>
      </c>
      <c r="K16" s="17" t="str">
        <f t="shared" si="2"/>
        <v>no</v>
      </c>
      <c r="L16" s="17" t="str">
        <f t="shared" si="3"/>
        <v>no</v>
      </c>
      <c r="M16" s="26" t="str">
        <f t="shared" si="4"/>
        <v>different day</v>
      </c>
      <c r="N16" s="26">
        <f t="shared" si="5"/>
        <v>0.13</v>
      </c>
    </row>
    <row r="17" spans="2:14" ht="20.100000000000001" customHeight="1" x14ac:dyDescent="0.3">
      <c r="B17" s="15">
        <v>44685</v>
      </c>
      <c r="C17" s="12" t="s">
        <v>93</v>
      </c>
      <c r="D17" s="16">
        <v>129.94999999999999</v>
      </c>
      <c r="E17" s="15">
        <v>44687</v>
      </c>
      <c r="F17" s="12" t="s">
        <v>88</v>
      </c>
      <c r="G17" s="16">
        <v>1174.99</v>
      </c>
      <c r="H17" s="12" t="s">
        <v>90</v>
      </c>
      <c r="I17" s="17" t="str">
        <f t="shared" si="0"/>
        <v>no</v>
      </c>
      <c r="J17" s="17" t="str">
        <f t="shared" si="1"/>
        <v>yes</v>
      </c>
      <c r="K17" s="17" t="str">
        <f t="shared" si="2"/>
        <v>no</v>
      </c>
      <c r="L17" s="17" t="str">
        <f t="shared" si="3"/>
        <v>yes</v>
      </c>
      <c r="M17" s="26" t="str">
        <f t="shared" si="4"/>
        <v>different day</v>
      </c>
      <c r="N17" s="26">
        <f t="shared" si="5"/>
        <v>0.03</v>
      </c>
    </row>
    <row r="18" spans="2:14" ht="20.100000000000001" customHeight="1" x14ac:dyDescent="0.3">
      <c r="B18" s="15">
        <v>44688</v>
      </c>
      <c r="C18" s="12" t="s">
        <v>96</v>
      </c>
      <c r="D18" s="27">
        <v>399</v>
      </c>
      <c r="E18" s="15">
        <v>44688</v>
      </c>
      <c r="F18" s="12" t="s">
        <v>88</v>
      </c>
      <c r="G18" s="16">
        <v>1799.99</v>
      </c>
      <c r="H18" s="12" t="s">
        <v>92</v>
      </c>
      <c r="I18" s="17" t="str">
        <f t="shared" si="0"/>
        <v>no</v>
      </c>
      <c r="J18" s="17" t="str">
        <f t="shared" si="1"/>
        <v>yes</v>
      </c>
      <c r="K18" s="17" t="str">
        <f t="shared" si="2"/>
        <v>no</v>
      </c>
      <c r="L18" s="17" t="str">
        <f t="shared" si="3"/>
        <v>no</v>
      </c>
      <c r="M18" s="26" t="str">
        <f t="shared" si="4"/>
        <v>same day</v>
      </c>
      <c r="N18" s="26">
        <f t="shared" si="5"/>
        <v>0.13</v>
      </c>
    </row>
    <row r="19" spans="2:14" ht="20.100000000000001" customHeight="1" x14ac:dyDescent="0.3">
      <c r="B19" s="15">
        <v>44694</v>
      </c>
      <c r="C19" s="12" t="s">
        <v>96</v>
      </c>
      <c r="D19" s="16">
        <v>183.9</v>
      </c>
      <c r="E19" s="15">
        <v>44695</v>
      </c>
      <c r="F19" s="12" t="s">
        <v>96</v>
      </c>
      <c r="G19" s="16">
        <v>183.9</v>
      </c>
      <c r="H19" s="12" t="s">
        <v>47</v>
      </c>
      <c r="I19" s="17" t="str">
        <f t="shared" si="0"/>
        <v>no</v>
      </c>
      <c r="J19" s="17" t="str">
        <f t="shared" si="1"/>
        <v>no</v>
      </c>
      <c r="K19" s="17" t="str">
        <f t="shared" si="2"/>
        <v>no</v>
      </c>
      <c r="L19" s="17" t="str">
        <f t="shared" si="3"/>
        <v>no</v>
      </c>
      <c r="M19" s="26" t="str">
        <f t="shared" si="4"/>
        <v>different day</v>
      </c>
      <c r="N19" s="26">
        <f t="shared" si="5"/>
        <v>0.01</v>
      </c>
    </row>
    <row r="20" spans="2:14" ht="20.100000000000001" customHeight="1" x14ac:dyDescent="0.3">
      <c r="B20" s="15">
        <v>44696</v>
      </c>
      <c r="C20" s="12" t="s">
        <v>96</v>
      </c>
      <c r="D20" s="27">
        <v>299</v>
      </c>
      <c r="E20" s="15">
        <v>44697</v>
      </c>
      <c r="F20" s="12" t="s">
        <v>97</v>
      </c>
      <c r="G20" s="27">
        <v>565</v>
      </c>
      <c r="H20" s="12" t="s">
        <v>92</v>
      </c>
      <c r="I20" s="17" t="str">
        <f t="shared" si="0"/>
        <v>no</v>
      </c>
      <c r="J20" s="17" t="str">
        <f t="shared" si="1"/>
        <v>no</v>
      </c>
      <c r="K20" s="17" t="str">
        <f t="shared" si="2"/>
        <v>no</v>
      </c>
      <c r="L20" s="17" t="str">
        <f t="shared" si="3"/>
        <v>no</v>
      </c>
      <c r="M20" s="26" t="str">
        <f t="shared" si="4"/>
        <v>different day</v>
      </c>
      <c r="N20" s="26">
        <f t="shared" si="5"/>
        <v>0.03</v>
      </c>
    </row>
    <row r="21" spans="2:14" ht="20.100000000000001" customHeight="1" x14ac:dyDescent="0.3">
      <c r="B21" s="15">
        <v>44698</v>
      </c>
      <c r="C21" s="12" t="s">
        <v>97</v>
      </c>
      <c r="D21" s="27">
        <v>560</v>
      </c>
      <c r="E21" s="15">
        <v>44700</v>
      </c>
      <c r="F21" s="12" t="s">
        <v>97</v>
      </c>
      <c r="G21" s="27">
        <v>560</v>
      </c>
      <c r="H21" s="12" t="s">
        <v>91</v>
      </c>
      <c r="I21" s="17" t="str">
        <f t="shared" si="0"/>
        <v>no</v>
      </c>
      <c r="J21" s="17" t="str">
        <f t="shared" si="1"/>
        <v>no</v>
      </c>
      <c r="K21" s="17" t="str">
        <f t="shared" si="2"/>
        <v>no</v>
      </c>
      <c r="L21" s="17" t="str">
        <f t="shared" si="3"/>
        <v>no</v>
      </c>
      <c r="M21" s="26" t="str">
        <f t="shared" si="4"/>
        <v>different day</v>
      </c>
      <c r="N21" s="26">
        <f t="shared" si="5"/>
        <v>0.03</v>
      </c>
    </row>
    <row r="22" spans="2:14" ht="20.100000000000001" customHeight="1" x14ac:dyDescent="0.3">
      <c r="B22" s="15">
        <v>44700</v>
      </c>
      <c r="C22" s="12" t="s">
        <v>97</v>
      </c>
      <c r="D22" s="27">
        <v>565</v>
      </c>
      <c r="E22" s="15">
        <v>44700</v>
      </c>
      <c r="F22" s="12" t="s">
        <v>96</v>
      </c>
      <c r="G22" s="27">
        <v>299</v>
      </c>
      <c r="H22" s="12" t="s">
        <v>90</v>
      </c>
      <c r="I22" s="17" t="str">
        <f t="shared" si="0"/>
        <v>no</v>
      </c>
      <c r="J22" s="17" t="str">
        <f t="shared" si="1"/>
        <v>no</v>
      </c>
      <c r="K22" s="17" t="str">
        <f t="shared" si="2"/>
        <v>no</v>
      </c>
      <c r="L22" s="17" t="str">
        <f t="shared" si="3"/>
        <v>no</v>
      </c>
      <c r="M22" s="26" t="str">
        <f t="shared" si="4"/>
        <v>same day</v>
      </c>
      <c r="N22" s="26">
        <f t="shared" si="5"/>
        <v>0.01</v>
      </c>
    </row>
  </sheetData>
  <autoFilter ref="B2:N22" xr:uid="{0A779B32-B500-4CBF-B96B-D57C75E93A2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81D9-6604-4CDE-A762-28CF3EE7C627}">
  <dimension ref="A1:Q46"/>
  <sheetViews>
    <sheetView showGridLines="0" topLeftCell="D1" zoomScale="85" zoomScaleNormal="85" workbookViewId="0">
      <selection activeCell="F30" sqref="F30"/>
    </sheetView>
  </sheetViews>
  <sheetFormatPr defaultColWidth="9.109375" defaultRowHeight="20.100000000000001" customHeight="1" x14ac:dyDescent="0.3"/>
  <cols>
    <col min="1" max="1" width="17.6640625" style="1" bestFit="1" customWidth="1"/>
    <col min="2" max="2" width="20.109375" style="1" bestFit="1" customWidth="1"/>
    <col min="3" max="3" width="16.88671875" style="1" bestFit="1" customWidth="1"/>
    <col min="4" max="4" width="13.6640625" style="1" bestFit="1" customWidth="1"/>
    <col min="5" max="5" width="11.6640625" style="1" customWidth="1"/>
    <col min="6" max="6" width="14.88671875" style="1" customWidth="1"/>
    <col min="7" max="7" width="18" style="1" bestFit="1" customWidth="1"/>
    <col min="8" max="8" width="14.6640625" style="1" bestFit="1" customWidth="1"/>
    <col min="9" max="9" width="13.5546875" style="1" customWidth="1"/>
    <col min="10" max="10" width="20.33203125" style="1" bestFit="1" customWidth="1"/>
    <col min="11" max="12" width="20.44140625" style="1" customWidth="1"/>
    <col min="13" max="13" width="19.6640625" style="1" customWidth="1"/>
    <col min="14" max="14" width="20.77734375" style="1" customWidth="1"/>
    <col min="15" max="15" width="16.5546875" style="1" customWidth="1"/>
    <col min="16" max="16" width="18.44140625" style="1" customWidth="1"/>
    <col min="17" max="17" width="9.109375" style="1"/>
    <col min="18" max="18" width="13.6640625" style="1" bestFit="1" customWidth="1"/>
    <col min="19" max="19" width="12.44140625" style="1" bestFit="1" customWidth="1"/>
    <col min="20" max="16384" width="9.109375" style="1"/>
  </cols>
  <sheetData>
    <row r="1" spans="1:17" ht="36" x14ac:dyDescent="0.3">
      <c r="A1" s="3" t="s">
        <v>39</v>
      </c>
      <c r="B1" s="3" t="s">
        <v>7</v>
      </c>
      <c r="C1" s="3" t="s">
        <v>6</v>
      </c>
      <c r="D1" s="3" t="s">
        <v>31</v>
      </c>
      <c r="E1" s="3" t="s">
        <v>38</v>
      </c>
      <c r="F1" s="3" t="s">
        <v>110</v>
      </c>
      <c r="G1" s="3" t="s">
        <v>111</v>
      </c>
      <c r="H1" s="3" t="s">
        <v>100</v>
      </c>
      <c r="I1" s="19" t="s">
        <v>106</v>
      </c>
      <c r="J1" s="19" t="s">
        <v>104</v>
      </c>
      <c r="K1" s="19" t="s">
        <v>103</v>
      </c>
      <c r="L1" s="19" t="s">
        <v>105</v>
      </c>
      <c r="M1" s="4" t="s">
        <v>99</v>
      </c>
      <c r="N1" s="4" t="s">
        <v>76</v>
      </c>
      <c r="P1" s="10" t="s">
        <v>75</v>
      </c>
      <c r="Q1" s="20">
        <v>5</v>
      </c>
    </row>
    <row r="2" spans="1:17" ht="20.100000000000001" customHeight="1" x14ac:dyDescent="0.3">
      <c r="A2" s="21" t="s">
        <v>1</v>
      </c>
      <c r="B2" s="28">
        <v>45102</v>
      </c>
      <c r="C2" s="29" t="s">
        <v>25</v>
      </c>
      <c r="D2" s="29" t="s">
        <v>98</v>
      </c>
      <c r="E2" s="30">
        <v>2.5</v>
      </c>
      <c r="F2" s="31">
        <v>7</v>
      </c>
      <c r="G2" s="32">
        <f t="shared" ref="G2:G24" si="0">E2*F2</f>
        <v>17.5</v>
      </c>
      <c r="H2" s="30" t="s">
        <v>102</v>
      </c>
      <c r="I2" s="33" t="s">
        <v>107</v>
      </c>
      <c r="J2" s="34" t="s">
        <v>107</v>
      </c>
      <c r="K2" s="33">
        <v>0.05</v>
      </c>
      <c r="L2" s="33">
        <v>0.08</v>
      </c>
      <c r="M2" s="34" t="s">
        <v>108</v>
      </c>
      <c r="N2" s="35" t="s">
        <v>107</v>
      </c>
      <c r="P2" s="10" t="s">
        <v>74</v>
      </c>
      <c r="Q2" s="11">
        <v>0.12</v>
      </c>
    </row>
    <row r="3" spans="1:17" ht="20.100000000000001" customHeight="1" x14ac:dyDescent="0.3">
      <c r="A3" s="21" t="s">
        <v>11</v>
      </c>
      <c r="B3" s="28">
        <v>45103</v>
      </c>
      <c r="C3" s="29" t="s">
        <v>27</v>
      </c>
      <c r="D3" s="29" t="s">
        <v>35</v>
      </c>
      <c r="E3" s="30">
        <v>7.99</v>
      </c>
      <c r="F3" s="31">
        <v>6</v>
      </c>
      <c r="G3" s="32">
        <f t="shared" si="0"/>
        <v>47.94</v>
      </c>
      <c r="H3" s="36" t="s">
        <v>101</v>
      </c>
      <c r="I3" s="33">
        <v>0.12</v>
      </c>
      <c r="J3" s="34"/>
      <c r="K3" s="33" t="s">
        <v>107</v>
      </c>
      <c r="L3" s="33" t="s">
        <v>107</v>
      </c>
      <c r="M3" s="34" t="s">
        <v>109</v>
      </c>
      <c r="N3" s="35" t="s">
        <v>107</v>
      </c>
      <c r="P3" s="6" t="s">
        <v>76</v>
      </c>
      <c r="Q3" s="6" t="s">
        <v>38</v>
      </c>
    </row>
    <row r="4" spans="1:17" ht="20.100000000000001" customHeight="1" x14ac:dyDescent="0.3">
      <c r="A4" s="21" t="s">
        <v>16</v>
      </c>
      <c r="B4" s="28">
        <v>45121</v>
      </c>
      <c r="C4" s="29" t="s">
        <v>28</v>
      </c>
      <c r="D4" s="29" t="s">
        <v>34</v>
      </c>
      <c r="E4" s="30">
        <v>5.99</v>
      </c>
      <c r="F4" s="31">
        <v>5</v>
      </c>
      <c r="G4" s="32">
        <f t="shared" si="0"/>
        <v>29.950000000000003</v>
      </c>
      <c r="H4" s="30" t="s">
        <v>102</v>
      </c>
      <c r="I4" s="33">
        <v>0.12</v>
      </c>
      <c r="J4" s="34"/>
      <c r="K4" s="33">
        <v>0.05</v>
      </c>
      <c r="L4" s="33">
        <v>0.08</v>
      </c>
      <c r="M4" s="34" t="s">
        <v>109</v>
      </c>
      <c r="N4" s="35" t="s">
        <v>107</v>
      </c>
      <c r="P4" s="5" t="s">
        <v>77</v>
      </c>
      <c r="Q4" s="5">
        <v>7</v>
      </c>
    </row>
    <row r="5" spans="1:17" ht="20.100000000000001" customHeight="1" x14ac:dyDescent="0.3">
      <c r="A5" s="21" t="s">
        <v>15</v>
      </c>
      <c r="B5" s="28">
        <v>45127</v>
      </c>
      <c r="C5" s="29" t="s">
        <v>36</v>
      </c>
      <c r="D5" s="29" t="s">
        <v>34</v>
      </c>
      <c r="E5" s="30">
        <v>4.99</v>
      </c>
      <c r="F5" s="31">
        <v>3</v>
      </c>
      <c r="G5" s="32">
        <f t="shared" si="0"/>
        <v>14.97</v>
      </c>
      <c r="H5" s="36" t="s">
        <v>101</v>
      </c>
      <c r="I5" s="33"/>
      <c r="J5" s="34"/>
      <c r="K5" s="33" t="s">
        <v>107</v>
      </c>
      <c r="L5" s="33" t="s">
        <v>107</v>
      </c>
      <c r="M5" s="34" t="s">
        <v>109</v>
      </c>
      <c r="N5" s="35" t="s">
        <v>107</v>
      </c>
      <c r="O5" s="2"/>
      <c r="P5" s="12" t="s">
        <v>78</v>
      </c>
      <c r="Q5" s="5" t="s">
        <v>81</v>
      </c>
    </row>
    <row r="6" spans="1:17" ht="20.100000000000001" customHeight="1" x14ac:dyDescent="0.3">
      <c r="A6" s="21" t="s">
        <v>2</v>
      </c>
      <c r="B6" s="28">
        <v>45135</v>
      </c>
      <c r="C6" s="29" t="s">
        <v>25</v>
      </c>
      <c r="D6" s="29" t="s">
        <v>32</v>
      </c>
      <c r="E6" s="30">
        <v>8.99</v>
      </c>
      <c r="F6" s="31">
        <v>2</v>
      </c>
      <c r="G6" s="32">
        <f t="shared" si="0"/>
        <v>17.98</v>
      </c>
      <c r="H6" s="36" t="s">
        <v>101</v>
      </c>
      <c r="I6" s="33">
        <v>0.12</v>
      </c>
      <c r="J6" s="34" t="s">
        <v>25</v>
      </c>
      <c r="K6" s="33" t="s">
        <v>107</v>
      </c>
      <c r="L6" s="33" t="s">
        <v>107</v>
      </c>
      <c r="M6" s="34" t="s">
        <v>109</v>
      </c>
      <c r="N6" s="35" t="s">
        <v>78</v>
      </c>
      <c r="P6" s="12" t="s">
        <v>79</v>
      </c>
      <c r="Q6" s="5" t="s">
        <v>80</v>
      </c>
    </row>
    <row r="7" spans="1:17" ht="20.100000000000001" customHeight="1" x14ac:dyDescent="0.3">
      <c r="A7" s="21" t="s">
        <v>18</v>
      </c>
      <c r="B7" s="28">
        <v>45136</v>
      </c>
      <c r="C7" s="29" t="s">
        <v>28</v>
      </c>
      <c r="D7" s="29" t="s">
        <v>32</v>
      </c>
      <c r="E7" s="30">
        <v>9.99</v>
      </c>
      <c r="F7" s="31">
        <v>5</v>
      </c>
      <c r="G7" s="32">
        <f t="shared" si="0"/>
        <v>49.95</v>
      </c>
      <c r="H7" s="36" t="s">
        <v>101</v>
      </c>
      <c r="I7" s="33">
        <v>0.12</v>
      </c>
      <c r="J7" s="34" t="s">
        <v>28</v>
      </c>
      <c r="K7" s="33" t="s">
        <v>107</v>
      </c>
      <c r="L7" s="33" t="s">
        <v>107</v>
      </c>
      <c r="M7" s="34" t="s">
        <v>109</v>
      </c>
      <c r="N7" s="35" t="s">
        <v>78</v>
      </c>
    </row>
    <row r="8" spans="1:17" ht="20.100000000000001" customHeight="1" x14ac:dyDescent="0.3">
      <c r="A8" s="21" t="s">
        <v>0</v>
      </c>
      <c r="B8" s="28">
        <v>45138</v>
      </c>
      <c r="C8" s="29" t="s">
        <v>25</v>
      </c>
      <c r="D8" s="29" t="s">
        <v>32</v>
      </c>
      <c r="E8" s="30">
        <v>6.99</v>
      </c>
      <c r="F8" s="31">
        <v>3</v>
      </c>
      <c r="G8" s="32">
        <f t="shared" si="0"/>
        <v>20.97</v>
      </c>
      <c r="H8" s="36" t="s">
        <v>101</v>
      </c>
      <c r="I8" s="33">
        <v>0.12</v>
      </c>
      <c r="J8" s="34" t="s">
        <v>25</v>
      </c>
      <c r="K8" s="33" t="s">
        <v>107</v>
      </c>
      <c r="L8" s="33" t="s">
        <v>107</v>
      </c>
      <c r="M8" s="34" t="s">
        <v>109</v>
      </c>
      <c r="N8" s="35" t="s">
        <v>77</v>
      </c>
    </row>
    <row r="9" spans="1:17" ht="20.100000000000001" customHeight="1" x14ac:dyDescent="0.3">
      <c r="A9" s="21" t="s">
        <v>24</v>
      </c>
      <c r="B9" s="28">
        <v>45172</v>
      </c>
      <c r="C9" s="29" t="s">
        <v>30</v>
      </c>
      <c r="D9" s="29" t="s">
        <v>98</v>
      </c>
      <c r="E9" s="30">
        <v>2.99</v>
      </c>
      <c r="F9" s="31">
        <v>1</v>
      </c>
      <c r="G9" s="32">
        <f t="shared" si="0"/>
        <v>2.99</v>
      </c>
      <c r="H9" s="30" t="s">
        <v>102</v>
      </c>
      <c r="I9" s="33" t="s">
        <v>107</v>
      </c>
      <c r="J9" s="34" t="s">
        <v>107</v>
      </c>
      <c r="K9" s="33">
        <v>0.05</v>
      </c>
      <c r="L9" s="33" t="s">
        <v>107</v>
      </c>
      <c r="M9" s="34" t="s">
        <v>108</v>
      </c>
      <c r="N9" s="35" t="s">
        <v>107</v>
      </c>
    </row>
    <row r="10" spans="1:17" ht="20.100000000000001" customHeight="1" x14ac:dyDescent="0.3">
      <c r="A10" s="21" t="s">
        <v>17</v>
      </c>
      <c r="B10" s="28">
        <v>45185</v>
      </c>
      <c r="C10" s="29" t="s">
        <v>28</v>
      </c>
      <c r="D10" s="29" t="s">
        <v>32</v>
      </c>
      <c r="E10" s="30">
        <v>12.99</v>
      </c>
      <c r="F10" s="31">
        <v>1</v>
      </c>
      <c r="G10" s="32">
        <f t="shared" si="0"/>
        <v>12.99</v>
      </c>
      <c r="H10" s="30" t="s">
        <v>102</v>
      </c>
      <c r="I10" s="33">
        <v>0.12</v>
      </c>
      <c r="J10" s="34" t="s">
        <v>28</v>
      </c>
      <c r="K10" s="33">
        <v>0.05</v>
      </c>
      <c r="L10" s="33">
        <v>0.08</v>
      </c>
      <c r="M10" s="34" t="s">
        <v>109</v>
      </c>
      <c r="N10" s="35" t="s">
        <v>79</v>
      </c>
    </row>
    <row r="11" spans="1:17" ht="20.100000000000001" customHeight="1" x14ac:dyDescent="0.3">
      <c r="A11" s="21" t="s">
        <v>19</v>
      </c>
      <c r="B11" s="28">
        <v>45194</v>
      </c>
      <c r="C11" s="29" t="s">
        <v>28</v>
      </c>
      <c r="D11" s="29" t="s">
        <v>32</v>
      </c>
      <c r="E11" s="30">
        <v>9.99</v>
      </c>
      <c r="F11" s="31">
        <v>1</v>
      </c>
      <c r="G11" s="32">
        <f t="shared" si="0"/>
        <v>9.99</v>
      </c>
      <c r="H11" s="30" t="s">
        <v>102</v>
      </c>
      <c r="I11" s="33">
        <v>0.12</v>
      </c>
      <c r="J11" s="34" t="s">
        <v>28</v>
      </c>
      <c r="K11" s="33">
        <v>0.05</v>
      </c>
      <c r="L11" s="33" t="s">
        <v>107</v>
      </c>
      <c r="M11" s="34" t="s">
        <v>109</v>
      </c>
      <c r="N11" s="35" t="s">
        <v>78</v>
      </c>
    </row>
    <row r="12" spans="1:17" ht="20.100000000000001" customHeight="1" x14ac:dyDescent="0.3">
      <c r="A12" s="21" t="s">
        <v>23</v>
      </c>
      <c r="B12" s="28">
        <v>45197</v>
      </c>
      <c r="C12" s="29" t="s">
        <v>30</v>
      </c>
      <c r="D12" s="29" t="s">
        <v>33</v>
      </c>
      <c r="E12" s="30">
        <v>5.99</v>
      </c>
      <c r="F12" s="31">
        <v>3</v>
      </c>
      <c r="G12" s="32">
        <f t="shared" si="0"/>
        <v>17.97</v>
      </c>
      <c r="H12" s="36" t="s">
        <v>101</v>
      </c>
      <c r="I12" s="33">
        <v>0.12</v>
      </c>
      <c r="J12" s="34" t="s">
        <v>107</v>
      </c>
      <c r="K12" s="33" t="s">
        <v>107</v>
      </c>
      <c r="L12" s="33" t="s">
        <v>107</v>
      </c>
      <c r="M12" s="34" t="s">
        <v>109</v>
      </c>
      <c r="N12" s="35" t="s">
        <v>107</v>
      </c>
    </row>
    <row r="13" spans="1:17" ht="20.100000000000001" customHeight="1" x14ac:dyDescent="0.3">
      <c r="A13" s="21" t="s">
        <v>20</v>
      </c>
      <c r="B13" s="28">
        <v>45215</v>
      </c>
      <c r="C13" s="29" t="s">
        <v>28</v>
      </c>
      <c r="D13" s="29" t="s">
        <v>98</v>
      </c>
      <c r="E13" s="30">
        <v>2.99</v>
      </c>
      <c r="F13" s="31">
        <v>4</v>
      </c>
      <c r="G13" s="32">
        <f t="shared" si="0"/>
        <v>11.96</v>
      </c>
      <c r="H13" s="36" t="s">
        <v>101</v>
      </c>
      <c r="I13" s="33" t="s">
        <v>107</v>
      </c>
      <c r="J13" s="34" t="s">
        <v>107</v>
      </c>
      <c r="K13" s="33" t="s">
        <v>107</v>
      </c>
      <c r="L13" s="33" t="s">
        <v>107</v>
      </c>
      <c r="M13" s="34" t="s">
        <v>108</v>
      </c>
      <c r="N13" s="35" t="s">
        <v>107</v>
      </c>
    </row>
    <row r="14" spans="1:17" ht="20.100000000000001" customHeight="1" x14ac:dyDescent="0.3">
      <c r="A14" s="21" t="s">
        <v>22</v>
      </c>
      <c r="B14" s="28">
        <v>45219</v>
      </c>
      <c r="C14" s="29" t="s">
        <v>30</v>
      </c>
      <c r="D14" s="29" t="s">
        <v>32</v>
      </c>
      <c r="E14" s="30">
        <v>7.99</v>
      </c>
      <c r="F14" s="31">
        <v>5</v>
      </c>
      <c r="G14" s="32">
        <f t="shared" si="0"/>
        <v>39.950000000000003</v>
      </c>
      <c r="H14" s="30" t="s">
        <v>102</v>
      </c>
      <c r="I14" s="33">
        <v>0.12</v>
      </c>
      <c r="J14" s="34" t="s">
        <v>30</v>
      </c>
      <c r="K14" s="33">
        <v>0.05</v>
      </c>
      <c r="L14" s="33">
        <v>0.08</v>
      </c>
      <c r="M14" s="34" t="s">
        <v>109</v>
      </c>
      <c r="N14" s="35" t="s">
        <v>78</v>
      </c>
    </row>
    <row r="15" spans="1:17" ht="20.100000000000001" customHeight="1" x14ac:dyDescent="0.3">
      <c r="A15" s="21" t="s">
        <v>9</v>
      </c>
      <c r="B15" s="28">
        <v>45245</v>
      </c>
      <c r="C15" s="29" t="s">
        <v>26</v>
      </c>
      <c r="D15" s="29" t="s">
        <v>34</v>
      </c>
      <c r="E15" s="30">
        <v>5.99</v>
      </c>
      <c r="F15" s="31">
        <v>5</v>
      </c>
      <c r="G15" s="32">
        <f t="shared" si="0"/>
        <v>29.950000000000003</v>
      </c>
      <c r="H15" s="30" t="s">
        <v>102</v>
      </c>
      <c r="I15" s="33">
        <v>0.12</v>
      </c>
      <c r="J15" s="34" t="s">
        <v>107</v>
      </c>
      <c r="K15" s="33">
        <v>0.05</v>
      </c>
      <c r="L15" s="33">
        <v>0.08</v>
      </c>
      <c r="M15" s="34" t="s">
        <v>109</v>
      </c>
      <c r="N15" s="35" t="s">
        <v>107</v>
      </c>
    </row>
    <row r="16" spans="1:17" ht="20.100000000000001" customHeight="1" x14ac:dyDescent="0.3">
      <c r="A16" s="21" t="s">
        <v>5</v>
      </c>
      <c r="B16" s="28">
        <v>45263</v>
      </c>
      <c r="C16" s="29" t="s">
        <v>26</v>
      </c>
      <c r="D16" s="29" t="s">
        <v>34</v>
      </c>
      <c r="E16" s="30">
        <v>5.99</v>
      </c>
      <c r="F16" s="31">
        <v>1</v>
      </c>
      <c r="G16" s="32">
        <f t="shared" si="0"/>
        <v>5.99</v>
      </c>
      <c r="H16" s="30" t="s">
        <v>102</v>
      </c>
      <c r="I16" s="33">
        <v>0.12</v>
      </c>
      <c r="J16" s="34" t="s">
        <v>107</v>
      </c>
      <c r="K16" s="33">
        <v>0.05</v>
      </c>
      <c r="L16" s="33" t="s">
        <v>107</v>
      </c>
      <c r="M16" s="34" t="s">
        <v>109</v>
      </c>
      <c r="N16" s="35" t="s">
        <v>107</v>
      </c>
    </row>
    <row r="17" spans="1:14" ht="20.100000000000001" customHeight="1" x14ac:dyDescent="0.3">
      <c r="A17" s="21" t="s">
        <v>10</v>
      </c>
      <c r="B17" s="28">
        <v>45270</v>
      </c>
      <c r="C17" s="29" t="s">
        <v>26</v>
      </c>
      <c r="D17" s="29" t="s">
        <v>34</v>
      </c>
      <c r="E17" s="30">
        <v>5.99</v>
      </c>
      <c r="F17" s="31">
        <v>6</v>
      </c>
      <c r="G17" s="32">
        <f t="shared" si="0"/>
        <v>35.94</v>
      </c>
      <c r="H17" s="36" t="s">
        <v>101</v>
      </c>
      <c r="I17" s="33">
        <v>0.12</v>
      </c>
      <c r="J17" s="34" t="s">
        <v>107</v>
      </c>
      <c r="K17" s="33" t="s">
        <v>107</v>
      </c>
      <c r="L17" s="33" t="s">
        <v>107</v>
      </c>
      <c r="M17" s="34" t="s">
        <v>109</v>
      </c>
      <c r="N17" s="35" t="s">
        <v>107</v>
      </c>
    </row>
    <row r="18" spans="1:14" ht="20.100000000000001" customHeight="1" x14ac:dyDescent="0.3">
      <c r="A18" s="21" t="s">
        <v>3</v>
      </c>
      <c r="B18" s="28">
        <v>45273</v>
      </c>
      <c r="C18" s="29" t="s">
        <v>26</v>
      </c>
      <c r="D18" s="29" t="s">
        <v>32</v>
      </c>
      <c r="E18" s="30">
        <v>12.99</v>
      </c>
      <c r="F18" s="31">
        <v>6</v>
      </c>
      <c r="G18" s="32">
        <f t="shared" si="0"/>
        <v>77.94</v>
      </c>
      <c r="H18" s="36" t="s">
        <v>101</v>
      </c>
      <c r="I18" s="33">
        <v>0.12</v>
      </c>
      <c r="J18" s="34" t="s">
        <v>26</v>
      </c>
      <c r="K18" s="33" t="s">
        <v>107</v>
      </c>
      <c r="L18" s="33" t="s">
        <v>107</v>
      </c>
      <c r="M18" s="34" t="s">
        <v>109</v>
      </c>
      <c r="N18" s="35" t="s">
        <v>79</v>
      </c>
    </row>
    <row r="19" spans="1:14" ht="20.100000000000001" customHeight="1" x14ac:dyDescent="0.3">
      <c r="A19" s="21" t="s">
        <v>21</v>
      </c>
      <c r="B19" s="28">
        <v>45303</v>
      </c>
      <c r="C19" s="29" t="s">
        <v>29</v>
      </c>
      <c r="D19" s="29" t="s">
        <v>37</v>
      </c>
      <c r="E19" s="30">
        <v>1.99</v>
      </c>
      <c r="F19" s="31">
        <v>7</v>
      </c>
      <c r="G19" s="32">
        <f t="shared" si="0"/>
        <v>13.93</v>
      </c>
      <c r="H19" s="36" t="s">
        <v>101</v>
      </c>
      <c r="I19" s="33" t="s">
        <v>107</v>
      </c>
      <c r="J19" s="34" t="s">
        <v>107</v>
      </c>
      <c r="K19" s="33" t="s">
        <v>107</v>
      </c>
      <c r="L19" s="33" t="s">
        <v>107</v>
      </c>
      <c r="M19" s="34" t="s">
        <v>108</v>
      </c>
      <c r="N19" s="35" t="s">
        <v>107</v>
      </c>
    </row>
    <row r="20" spans="1:14" ht="20.100000000000001" customHeight="1" x14ac:dyDescent="0.3">
      <c r="A20" s="21" t="s">
        <v>8</v>
      </c>
      <c r="B20" s="28">
        <v>45349</v>
      </c>
      <c r="C20" s="29" t="s">
        <v>26</v>
      </c>
      <c r="D20" s="29" t="s">
        <v>34</v>
      </c>
      <c r="E20" s="30">
        <v>5.99</v>
      </c>
      <c r="F20" s="31">
        <v>2</v>
      </c>
      <c r="G20" s="32">
        <f t="shared" si="0"/>
        <v>11.98</v>
      </c>
      <c r="H20" s="36" t="s">
        <v>101</v>
      </c>
      <c r="I20" s="33">
        <v>0.12</v>
      </c>
      <c r="J20" s="34" t="s">
        <v>107</v>
      </c>
      <c r="K20" s="33" t="s">
        <v>107</v>
      </c>
      <c r="L20" s="33" t="s">
        <v>107</v>
      </c>
      <c r="M20" s="34" t="s">
        <v>109</v>
      </c>
      <c r="N20" s="35" t="s">
        <v>107</v>
      </c>
    </row>
    <row r="21" spans="1:14" ht="20.100000000000001" customHeight="1" x14ac:dyDescent="0.3">
      <c r="A21" s="21" t="s">
        <v>14</v>
      </c>
      <c r="B21" s="28">
        <v>45356</v>
      </c>
      <c r="C21" s="29" t="s">
        <v>36</v>
      </c>
      <c r="D21" s="29" t="s">
        <v>98</v>
      </c>
      <c r="E21" s="30">
        <v>1.5</v>
      </c>
      <c r="F21" s="31">
        <v>5</v>
      </c>
      <c r="G21" s="32">
        <f t="shared" si="0"/>
        <v>7.5</v>
      </c>
      <c r="H21" s="36" t="s">
        <v>101</v>
      </c>
      <c r="I21" s="33" t="s">
        <v>107</v>
      </c>
      <c r="J21" s="34" t="s">
        <v>107</v>
      </c>
      <c r="K21" s="33" t="s">
        <v>107</v>
      </c>
      <c r="L21" s="33" t="s">
        <v>107</v>
      </c>
      <c r="M21" s="34" t="s">
        <v>108</v>
      </c>
      <c r="N21" s="35" t="s">
        <v>107</v>
      </c>
    </row>
    <row r="22" spans="1:14" ht="20.100000000000001" customHeight="1" x14ac:dyDescent="0.3">
      <c r="A22" s="21" t="s">
        <v>12</v>
      </c>
      <c r="B22" s="28">
        <v>45364</v>
      </c>
      <c r="C22" s="29" t="s">
        <v>27</v>
      </c>
      <c r="D22" s="29" t="s">
        <v>37</v>
      </c>
      <c r="E22" s="30">
        <v>2.99</v>
      </c>
      <c r="F22" s="31">
        <v>5</v>
      </c>
      <c r="G22" s="32">
        <f t="shared" si="0"/>
        <v>14.950000000000001</v>
      </c>
      <c r="H22" s="36" t="s">
        <v>101</v>
      </c>
      <c r="I22" s="33" t="s">
        <v>107</v>
      </c>
      <c r="J22" s="34" t="s">
        <v>107</v>
      </c>
      <c r="K22" s="33" t="s">
        <v>107</v>
      </c>
      <c r="L22" s="33" t="s">
        <v>107</v>
      </c>
      <c r="M22" s="34" t="s">
        <v>108</v>
      </c>
      <c r="N22" s="35" t="s">
        <v>107</v>
      </c>
    </row>
    <row r="23" spans="1:14" ht="20.100000000000001" customHeight="1" x14ac:dyDescent="0.3">
      <c r="A23" s="21" t="s">
        <v>4</v>
      </c>
      <c r="B23" s="28">
        <v>45382</v>
      </c>
      <c r="C23" s="29" t="s">
        <v>25</v>
      </c>
      <c r="D23" s="29" t="s">
        <v>33</v>
      </c>
      <c r="E23" s="30">
        <v>5.99</v>
      </c>
      <c r="F23" s="31">
        <v>1</v>
      </c>
      <c r="G23" s="32">
        <f t="shared" si="0"/>
        <v>5.99</v>
      </c>
      <c r="H23" s="30" t="s">
        <v>102</v>
      </c>
      <c r="I23" s="33">
        <v>0.12</v>
      </c>
      <c r="J23" s="34" t="s">
        <v>107</v>
      </c>
      <c r="K23" s="33">
        <v>0.05</v>
      </c>
      <c r="L23" s="33" t="s">
        <v>107</v>
      </c>
      <c r="M23" s="34" t="s">
        <v>109</v>
      </c>
      <c r="N23" s="35" t="s">
        <v>107</v>
      </c>
    </row>
    <row r="24" spans="1:14" ht="20.100000000000001" customHeight="1" x14ac:dyDescent="0.3">
      <c r="A24" s="21" t="s">
        <v>13</v>
      </c>
      <c r="B24" s="28">
        <v>45399</v>
      </c>
      <c r="C24" s="29" t="s">
        <v>36</v>
      </c>
      <c r="D24" s="29" t="s">
        <v>32</v>
      </c>
      <c r="E24" s="30">
        <v>12.99</v>
      </c>
      <c r="F24" s="31">
        <v>2</v>
      </c>
      <c r="G24" s="32">
        <f t="shared" si="0"/>
        <v>25.98</v>
      </c>
      <c r="H24" s="30" t="s">
        <v>102</v>
      </c>
      <c r="I24" s="33">
        <v>0.12</v>
      </c>
      <c r="J24" s="34" t="s">
        <v>36</v>
      </c>
      <c r="K24" s="33">
        <v>0.05</v>
      </c>
      <c r="L24" s="33">
        <v>0.08</v>
      </c>
      <c r="M24" s="34" t="s">
        <v>109</v>
      </c>
      <c r="N24" s="35" t="s">
        <v>79</v>
      </c>
    </row>
    <row r="26" spans="1:14" ht="20.100000000000001" customHeight="1" x14ac:dyDescent="0.3">
      <c r="A26" s="3" t="s">
        <v>73</v>
      </c>
      <c r="B26" s="3" t="s">
        <v>68</v>
      </c>
      <c r="C26" s="3" t="s">
        <v>52</v>
      </c>
      <c r="D26" s="3" t="s">
        <v>53</v>
      </c>
      <c r="E26" s="3" t="s">
        <v>63</v>
      </c>
      <c r="F26" s="4" t="s">
        <v>54</v>
      </c>
      <c r="H26" s="6" t="s">
        <v>53</v>
      </c>
      <c r="I26" s="6" t="s">
        <v>54</v>
      </c>
    </row>
    <row r="27" spans="1:14" ht="20.100000000000001" customHeight="1" x14ac:dyDescent="0.3">
      <c r="A27" s="5">
        <v>1</v>
      </c>
      <c r="B27" s="5" t="s">
        <v>69</v>
      </c>
      <c r="C27" s="5" t="s">
        <v>55</v>
      </c>
      <c r="D27" s="8">
        <v>1046700</v>
      </c>
      <c r="E27" s="5" t="s">
        <v>64</v>
      </c>
      <c r="F27" s="9">
        <f>IF(D27 &gt;= 900000,7%,IF(D27&gt;750000,5%,IF(D27&gt;600000,3%,0%)))</f>
        <v>7.0000000000000007E-2</v>
      </c>
      <c r="H27" s="5" t="s">
        <v>59</v>
      </c>
      <c r="I27" s="7">
        <v>0</v>
      </c>
    </row>
    <row r="28" spans="1:14" ht="20.100000000000001" customHeight="1" x14ac:dyDescent="0.3">
      <c r="A28" s="5">
        <v>2</v>
      </c>
      <c r="B28" s="5" t="s">
        <v>69</v>
      </c>
      <c r="C28" s="5" t="s">
        <v>56</v>
      </c>
      <c r="D28" s="8">
        <v>680006</v>
      </c>
      <c r="E28" s="5" t="s">
        <v>65</v>
      </c>
      <c r="F28" s="9">
        <f t="shared" ref="F28:F46" si="1">IF(D28 &gt;= 900000,7%,IF(D28&gt;750000,5%,IF(D28&gt;600000,3%,0%)))</f>
        <v>0.03</v>
      </c>
      <c r="H28" s="5" t="s">
        <v>60</v>
      </c>
      <c r="I28" s="7">
        <v>0.03</v>
      </c>
    </row>
    <row r="29" spans="1:14" ht="20.100000000000001" customHeight="1" x14ac:dyDescent="0.3">
      <c r="A29" s="5">
        <v>3</v>
      </c>
      <c r="B29" s="5" t="s">
        <v>69</v>
      </c>
      <c r="C29" s="5" t="s">
        <v>40</v>
      </c>
      <c r="D29" s="8">
        <v>727370</v>
      </c>
      <c r="E29" s="5" t="s">
        <v>64</v>
      </c>
      <c r="F29" s="9">
        <f t="shared" si="1"/>
        <v>0.03</v>
      </c>
      <c r="H29" s="5" t="s">
        <v>61</v>
      </c>
      <c r="I29" s="7">
        <v>0.05</v>
      </c>
    </row>
    <row r="30" spans="1:14" ht="20.100000000000001" customHeight="1" x14ac:dyDescent="0.3">
      <c r="A30" s="5">
        <v>4</v>
      </c>
      <c r="B30" s="5" t="s">
        <v>69</v>
      </c>
      <c r="C30" s="5" t="s">
        <v>57</v>
      </c>
      <c r="D30" s="8">
        <v>500543</v>
      </c>
      <c r="E30" s="5" t="s">
        <v>65</v>
      </c>
      <c r="F30" s="9">
        <f>IF(D30 &gt;= 900000,7%,IF(D30&gt;750000,5%,IF(D30&gt;600000,3%,0%)))</f>
        <v>0</v>
      </c>
      <c r="H30" s="5" t="s">
        <v>62</v>
      </c>
      <c r="I30" s="7">
        <v>7.0000000000000007E-2</v>
      </c>
    </row>
    <row r="31" spans="1:14" ht="20.100000000000001" customHeight="1" x14ac:dyDescent="0.3">
      <c r="A31" s="5">
        <v>5</v>
      </c>
      <c r="B31" s="5" t="s">
        <v>69</v>
      </c>
      <c r="C31" s="5" t="s">
        <v>42</v>
      </c>
      <c r="D31" s="8">
        <v>1004356</v>
      </c>
      <c r="E31" s="5" t="s">
        <v>66</v>
      </c>
      <c r="F31" s="9">
        <f t="shared" si="1"/>
        <v>7.0000000000000007E-2</v>
      </c>
    </row>
    <row r="32" spans="1:14" ht="20.100000000000001" customHeight="1" x14ac:dyDescent="0.3">
      <c r="A32" s="5">
        <v>6</v>
      </c>
      <c r="B32" s="5" t="s">
        <v>70</v>
      </c>
      <c r="C32" s="5" t="s">
        <v>58</v>
      </c>
      <c r="D32" s="8">
        <v>1168017</v>
      </c>
      <c r="E32" s="5" t="s">
        <v>67</v>
      </c>
      <c r="F32" s="9">
        <f t="shared" si="1"/>
        <v>7.0000000000000007E-2</v>
      </c>
    </row>
    <row r="33" spans="1:6" ht="20.100000000000001" customHeight="1" x14ac:dyDescent="0.3">
      <c r="A33" s="5">
        <v>7</v>
      </c>
      <c r="B33" s="5" t="s">
        <v>70</v>
      </c>
      <c r="C33" s="5" t="s">
        <v>28</v>
      </c>
      <c r="D33" s="8">
        <v>545785</v>
      </c>
      <c r="E33" s="5" t="s">
        <v>66</v>
      </c>
      <c r="F33" s="9">
        <f t="shared" si="1"/>
        <v>0</v>
      </c>
    </row>
    <row r="34" spans="1:6" ht="20.100000000000001" customHeight="1" x14ac:dyDescent="0.3">
      <c r="A34" s="5">
        <v>8</v>
      </c>
      <c r="B34" s="5" t="s">
        <v>70</v>
      </c>
      <c r="C34" s="5" t="s">
        <v>43</v>
      </c>
      <c r="D34" s="8">
        <v>755408</v>
      </c>
      <c r="E34" s="5" t="s">
        <v>67</v>
      </c>
      <c r="F34" s="9">
        <f t="shared" si="1"/>
        <v>0.05</v>
      </c>
    </row>
    <row r="35" spans="1:6" ht="20.100000000000001" customHeight="1" x14ac:dyDescent="0.3">
      <c r="A35" s="5">
        <v>9</v>
      </c>
      <c r="B35" s="5" t="s">
        <v>69</v>
      </c>
      <c r="C35" s="5" t="s">
        <v>27</v>
      </c>
      <c r="D35" s="8">
        <v>1100283</v>
      </c>
      <c r="E35" s="5" t="s">
        <v>67</v>
      </c>
      <c r="F35" s="9">
        <f t="shared" si="1"/>
        <v>7.0000000000000007E-2</v>
      </c>
    </row>
    <row r="36" spans="1:6" ht="20.100000000000001" customHeight="1" x14ac:dyDescent="0.3">
      <c r="A36" s="5">
        <v>10</v>
      </c>
      <c r="B36" s="5" t="s">
        <v>69</v>
      </c>
      <c r="C36" s="5" t="s">
        <v>29</v>
      </c>
      <c r="D36" s="8">
        <v>1132846</v>
      </c>
      <c r="E36" s="5" t="s">
        <v>66</v>
      </c>
      <c r="F36" s="9">
        <f t="shared" si="1"/>
        <v>7.0000000000000007E-2</v>
      </c>
    </row>
    <row r="37" spans="1:6" ht="20.100000000000001" customHeight="1" x14ac:dyDescent="0.3">
      <c r="A37" s="5">
        <v>11</v>
      </c>
      <c r="B37" s="5" t="s">
        <v>69</v>
      </c>
      <c r="C37" s="5" t="s">
        <v>30</v>
      </c>
      <c r="D37" s="8">
        <v>1101206</v>
      </c>
      <c r="E37" s="5" t="s">
        <v>67</v>
      </c>
      <c r="F37" s="9">
        <f t="shared" si="1"/>
        <v>7.0000000000000007E-2</v>
      </c>
    </row>
    <row r="38" spans="1:6" ht="20.100000000000001" customHeight="1" x14ac:dyDescent="0.3">
      <c r="A38" s="5">
        <v>12</v>
      </c>
      <c r="B38" s="5" t="s">
        <v>70</v>
      </c>
      <c r="C38" s="5" t="s">
        <v>44</v>
      </c>
      <c r="D38" s="8">
        <v>882264</v>
      </c>
      <c r="E38" s="5" t="s">
        <v>64</v>
      </c>
      <c r="F38" s="9">
        <f t="shared" si="1"/>
        <v>0.05</v>
      </c>
    </row>
    <row r="39" spans="1:6" ht="20.100000000000001" customHeight="1" x14ac:dyDescent="0.3">
      <c r="A39" s="5">
        <v>13</v>
      </c>
      <c r="B39" s="5" t="s">
        <v>71</v>
      </c>
      <c r="C39" s="5" t="s">
        <v>26</v>
      </c>
      <c r="D39" s="8">
        <v>1059305</v>
      </c>
      <c r="E39" s="5" t="s">
        <v>64</v>
      </c>
      <c r="F39" s="9">
        <f t="shared" si="1"/>
        <v>7.0000000000000007E-2</v>
      </c>
    </row>
    <row r="40" spans="1:6" ht="20.100000000000001" customHeight="1" x14ac:dyDescent="0.3">
      <c r="A40" s="5">
        <v>14</v>
      </c>
      <c r="B40" s="5" t="s">
        <v>72</v>
      </c>
      <c r="C40" s="5" t="s">
        <v>45</v>
      </c>
      <c r="D40" s="8">
        <v>841687</v>
      </c>
      <c r="E40" s="5" t="s">
        <v>65</v>
      </c>
      <c r="F40" s="9">
        <f t="shared" si="1"/>
        <v>0.05</v>
      </c>
    </row>
    <row r="41" spans="1:6" ht="20.100000000000001" customHeight="1" x14ac:dyDescent="0.3">
      <c r="A41" s="5">
        <v>15</v>
      </c>
      <c r="B41" s="5" t="s">
        <v>72</v>
      </c>
      <c r="C41" s="5" t="s">
        <v>46</v>
      </c>
      <c r="D41" s="8">
        <v>634195</v>
      </c>
      <c r="E41" s="5" t="s">
        <v>64</v>
      </c>
      <c r="F41" s="9">
        <f t="shared" si="1"/>
        <v>0.03</v>
      </c>
    </row>
    <row r="42" spans="1:6" ht="20.100000000000001" customHeight="1" x14ac:dyDescent="0.3">
      <c r="A42" s="5">
        <v>16</v>
      </c>
      <c r="B42" s="5" t="s">
        <v>72</v>
      </c>
      <c r="C42" s="5" t="s">
        <v>47</v>
      </c>
      <c r="D42" s="8">
        <v>626240</v>
      </c>
      <c r="E42" s="5" t="s">
        <v>66</v>
      </c>
      <c r="F42" s="9">
        <f t="shared" si="1"/>
        <v>0.03</v>
      </c>
    </row>
    <row r="43" spans="1:6" ht="20.100000000000001" customHeight="1" x14ac:dyDescent="0.3">
      <c r="A43" s="5">
        <v>17</v>
      </c>
      <c r="B43" s="5" t="s">
        <v>70</v>
      </c>
      <c r="C43" s="5" t="s">
        <v>48</v>
      </c>
      <c r="D43" s="8">
        <v>531543</v>
      </c>
      <c r="E43" s="5" t="s">
        <v>64</v>
      </c>
      <c r="F43" s="9">
        <f t="shared" si="1"/>
        <v>0</v>
      </c>
    </row>
    <row r="44" spans="1:6" ht="20.100000000000001" customHeight="1" x14ac:dyDescent="0.3">
      <c r="A44" s="5">
        <v>18</v>
      </c>
      <c r="B44" s="5" t="s">
        <v>70</v>
      </c>
      <c r="C44" s="5" t="s">
        <v>49</v>
      </c>
      <c r="D44" s="8">
        <v>888762</v>
      </c>
      <c r="E44" s="5" t="s">
        <v>67</v>
      </c>
      <c r="F44" s="9">
        <f t="shared" si="1"/>
        <v>0.05</v>
      </c>
    </row>
    <row r="45" spans="1:6" ht="20.100000000000001" customHeight="1" x14ac:dyDescent="0.3">
      <c r="A45" s="5">
        <v>19</v>
      </c>
      <c r="B45" s="5" t="s">
        <v>70</v>
      </c>
      <c r="C45" s="5" t="s">
        <v>50</v>
      </c>
      <c r="D45" s="8">
        <v>1137234</v>
      </c>
      <c r="E45" s="5" t="s">
        <v>64</v>
      </c>
      <c r="F45" s="9">
        <f t="shared" si="1"/>
        <v>7.0000000000000007E-2</v>
      </c>
    </row>
    <row r="46" spans="1:6" ht="20.100000000000001" customHeight="1" x14ac:dyDescent="0.3">
      <c r="A46" s="5">
        <v>20</v>
      </c>
      <c r="B46" s="5" t="s">
        <v>69</v>
      </c>
      <c r="C46" s="5" t="s">
        <v>51</v>
      </c>
      <c r="D46" s="8">
        <v>1039741</v>
      </c>
      <c r="E46" s="5" t="s">
        <v>65</v>
      </c>
      <c r="F46" s="9">
        <f t="shared" si="1"/>
        <v>7.0000000000000007E-2</v>
      </c>
    </row>
  </sheetData>
  <autoFilter ref="A1:N24" xr:uid="{F4B981D9-6604-4CDE-A762-28CF3EE7C627}"/>
  <conditionalFormatting sqref="B2:N24">
    <cfRule type="expression" dxfId="9" priority="9">
      <formula>AND($F2&lt;=3,$G2&gt;10)</formula>
    </cfRule>
    <cfRule type="containsBlanks" dxfId="8" priority="12">
      <formula>LEN(TRIM(B2))=0</formula>
    </cfRule>
  </conditionalFormatting>
  <conditionalFormatting sqref="M2:M24">
    <cfRule type="containsText" dxfId="7" priority="7" operator="containsText" text="foods">
      <formula>NOT(ISERROR(SEARCH("foods",M2)))</formula>
    </cfRule>
    <cfRule type="cellIs" dxfId="6" priority="6" operator="equal">
      <formula>"drinks"</formula>
    </cfRule>
  </conditionalFormatting>
  <conditionalFormatting sqref="F27:F46">
    <cfRule type="expression" dxfId="5" priority="1">
      <formula>$F27 = 0%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IF </vt:lpstr>
      <vt:lpstr>Conditional format</vt:lpstr>
      <vt:lpstr>'Conditional format'!Price_criteria</vt:lpstr>
      <vt:lpstr>'Conditional format'!TAX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Sheki Komp</cp:lastModifiedBy>
  <dcterms:created xsi:type="dcterms:W3CDTF">2015-06-05T18:17:20Z</dcterms:created>
  <dcterms:modified xsi:type="dcterms:W3CDTF">2026-05-03T15:36:11Z</dcterms:modified>
</cp:coreProperties>
</file>